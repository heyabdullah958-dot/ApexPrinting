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YAN\Downloads\"/>
    </mc:Choice>
  </mc:AlternateContent>
  <bookViews>
    <workbookView xWindow="0" yWindow="0" windowWidth="20490" windowHeight="7620"/>
  </bookViews>
  <sheets>
    <sheet name="Sheet1" sheetId="2" r:id="rId1"/>
  </sheets>
  <calcPr calcId="162913"/>
</workbook>
</file>

<file path=xl/calcChain.xml><?xml version="1.0" encoding="utf-8"?>
<calcChain xmlns="http://schemas.openxmlformats.org/spreadsheetml/2006/main">
  <c r="K30" i="2" l="1"/>
  <c r="J30" i="2"/>
  <c r="E30" i="2"/>
  <c r="G30" i="2" s="1"/>
  <c r="K11" i="2"/>
  <c r="J11" i="2"/>
  <c r="I11" i="2"/>
  <c r="H11" i="2"/>
  <c r="G11" i="2"/>
  <c r="F11" i="2"/>
  <c r="K29" i="2"/>
  <c r="J29" i="2"/>
  <c r="E29" i="2"/>
  <c r="G29" i="2" s="1"/>
  <c r="K10" i="2"/>
  <c r="J10" i="2"/>
  <c r="I10" i="2"/>
  <c r="H10" i="2"/>
  <c r="G10" i="2"/>
  <c r="F10" i="2"/>
  <c r="K28" i="2"/>
  <c r="J28" i="2"/>
  <c r="E28" i="2"/>
  <c r="H28" i="2" s="1"/>
  <c r="K9" i="2"/>
  <c r="J9" i="2"/>
  <c r="I9" i="2"/>
  <c r="H9" i="2"/>
  <c r="G9" i="2"/>
  <c r="F9" i="2"/>
  <c r="K27" i="2"/>
  <c r="J27" i="2"/>
  <c r="H27" i="2"/>
  <c r="E27" i="2"/>
  <c r="I27" i="2" s="1"/>
  <c r="K8" i="2"/>
  <c r="J8" i="2"/>
  <c r="I8" i="2"/>
  <c r="H8" i="2"/>
  <c r="G8" i="2"/>
  <c r="F8" i="2"/>
  <c r="K26" i="2"/>
  <c r="J26" i="2"/>
  <c r="H26" i="2"/>
  <c r="E26" i="2"/>
  <c r="F26" i="2" s="1"/>
  <c r="K7" i="2"/>
  <c r="J7" i="2"/>
  <c r="I7" i="2"/>
  <c r="H7" i="2"/>
  <c r="G7" i="2"/>
  <c r="F7" i="2"/>
  <c r="K25" i="2"/>
  <c r="J25" i="2"/>
  <c r="E25" i="2"/>
  <c r="G25" i="2" s="1"/>
  <c r="K6" i="2"/>
  <c r="J6" i="2"/>
  <c r="I6" i="2"/>
  <c r="H6" i="2"/>
  <c r="G6" i="2"/>
  <c r="F6" i="2"/>
  <c r="K24" i="2"/>
  <c r="J24" i="2"/>
  <c r="E24" i="2"/>
  <c r="H24" i="2" s="1"/>
  <c r="K5" i="2"/>
  <c r="J5" i="2"/>
  <c r="I5" i="2"/>
  <c r="H5" i="2"/>
  <c r="G5" i="2"/>
  <c r="F5" i="2"/>
  <c r="H25" i="2" l="1"/>
  <c r="H30" i="2"/>
  <c r="F27" i="2"/>
  <c r="G26" i="2"/>
  <c r="G27" i="2"/>
  <c r="H29" i="2"/>
  <c r="I24" i="2"/>
  <c r="I28" i="2"/>
  <c r="F24" i="2"/>
  <c r="I25" i="2"/>
  <c r="F28" i="2"/>
  <c r="I29" i="2"/>
  <c r="G24" i="2"/>
  <c r="F25" i="2"/>
  <c r="I26" i="2"/>
  <c r="G28" i="2"/>
  <c r="F29" i="2"/>
  <c r="I30" i="2"/>
  <c r="F30" i="2"/>
</calcChain>
</file>

<file path=xl/sharedStrings.xml><?xml version="1.0" encoding="utf-8"?>
<sst xmlns="http://schemas.openxmlformats.org/spreadsheetml/2006/main" count="28" uniqueCount="17">
  <si>
    <t>remove 6*9 size</t>
  </si>
  <si>
    <t>Note:</t>
  </si>
  <si>
    <t xml:space="preserve">remove no lamination option from lamination </t>
  </si>
  <si>
    <t>8.5*11</t>
  </si>
  <si>
    <t>qty</t>
  </si>
  <si>
    <t>300 gsm</t>
  </si>
  <si>
    <t>if 4 leaves</t>
  </si>
  <si>
    <t>if 8 leaves</t>
  </si>
  <si>
    <t>if 12 leaves</t>
  </si>
  <si>
    <t>if 16 leaves</t>
  </si>
  <si>
    <t>if 24 leaaves</t>
  </si>
  <si>
    <t>if 32 leaves</t>
  </si>
  <si>
    <t>saddle stitched</t>
  </si>
  <si>
    <t>spiral binding</t>
  </si>
  <si>
    <t>5.5*8.5</t>
  </si>
  <si>
    <t>PAPER COVER SPIRAL BINDING NOT AVAILABLE</t>
  </si>
  <si>
    <t>REMOVE 200 gsm in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</si>
</sst>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i/>
      <sz val="28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2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39"/>
  <sheetViews>
    <sheetView tabSelected="1" topLeftCell="A2" workbookViewId="0">
      <selection activeCell="P13" sqref="P13"/>
    </sheetView>
  </sheetViews>
  <sheetFormatPr defaultRowHeight="12.75" x14ac:dyDescent="0.2"/>
  <sheetData>
    <row r="3" spans="2:16" x14ac:dyDescent="0.2">
      <c r="B3" s="2"/>
      <c r="C3" s="2" t="s">
        <v>3</v>
      </c>
      <c r="D3" s="2"/>
      <c r="E3" s="2"/>
      <c r="F3" s="2"/>
      <c r="G3" s="2"/>
      <c r="H3" s="2"/>
      <c r="I3" s="2"/>
      <c r="J3" s="2"/>
      <c r="K3" s="2"/>
    </row>
    <row r="4" spans="2:16" x14ac:dyDescent="0.2"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2:16" x14ac:dyDescent="0.2">
      <c r="B5" s="3">
        <v>100</v>
      </c>
      <c r="C5">
        <v>40000</v>
      </c>
      <c r="D5" s="3">
        <v>26500</v>
      </c>
      <c r="E5" s="3">
        <v>29000</v>
      </c>
      <c r="F5" s="3">
        <f t="shared" ref="F5:F11" si="0">E5+D5</f>
        <v>55500</v>
      </c>
      <c r="G5" s="3">
        <f t="shared" ref="G5:G11" si="1">E5*2</f>
        <v>58000</v>
      </c>
      <c r="H5" s="3">
        <f t="shared" ref="H5:H11" si="2">E5*3</f>
        <v>87000</v>
      </c>
      <c r="I5" s="3">
        <f t="shared" ref="I5:I11" si="3">E5*4</f>
        <v>116000</v>
      </c>
      <c r="J5" s="2">
        <f>1000+500+25*B5</f>
        <v>4000</v>
      </c>
      <c r="K5" s="2">
        <f>80*B5</f>
        <v>8000</v>
      </c>
    </row>
    <row r="6" spans="2:16" x14ac:dyDescent="0.2">
      <c r="B6" s="3">
        <v>250</v>
      </c>
      <c r="C6">
        <v>52500</v>
      </c>
      <c r="D6" s="3">
        <v>28000</v>
      </c>
      <c r="E6" s="3">
        <v>32000</v>
      </c>
      <c r="F6" s="3">
        <f t="shared" si="0"/>
        <v>60000</v>
      </c>
      <c r="G6" s="3">
        <f t="shared" si="1"/>
        <v>64000</v>
      </c>
      <c r="H6" s="3">
        <f t="shared" si="2"/>
        <v>96000</v>
      </c>
      <c r="I6" s="3">
        <f t="shared" si="3"/>
        <v>128000</v>
      </c>
      <c r="J6" s="2">
        <f>1000+500+20*B6</f>
        <v>6500</v>
      </c>
      <c r="K6" s="2">
        <f>80*B6</f>
        <v>20000</v>
      </c>
    </row>
    <row r="7" spans="2:16" x14ac:dyDescent="0.2">
      <c r="B7" s="3">
        <v>500</v>
      </c>
      <c r="C7">
        <v>74500</v>
      </c>
      <c r="D7" s="3">
        <v>30700</v>
      </c>
      <c r="E7" s="3">
        <v>37000</v>
      </c>
      <c r="F7" s="3">
        <f t="shared" si="0"/>
        <v>67700</v>
      </c>
      <c r="G7" s="3">
        <f t="shared" si="1"/>
        <v>74000</v>
      </c>
      <c r="H7" s="3">
        <f t="shared" si="2"/>
        <v>111000</v>
      </c>
      <c r="I7" s="3">
        <f t="shared" si="3"/>
        <v>148000</v>
      </c>
      <c r="J7" s="2">
        <f>1000+500+15*B7</f>
        <v>9000</v>
      </c>
      <c r="K7" s="2">
        <f>80*B7</f>
        <v>40000</v>
      </c>
    </row>
    <row r="8" spans="2:16" x14ac:dyDescent="0.2">
      <c r="B8" s="3">
        <v>1000</v>
      </c>
      <c r="C8">
        <v>119000</v>
      </c>
      <c r="D8" s="3">
        <v>36000</v>
      </c>
      <c r="E8" s="3">
        <v>48000</v>
      </c>
      <c r="F8" s="3">
        <f t="shared" si="0"/>
        <v>84000</v>
      </c>
      <c r="G8" s="3">
        <f t="shared" si="1"/>
        <v>96000</v>
      </c>
      <c r="H8" s="3">
        <f t="shared" si="2"/>
        <v>144000</v>
      </c>
      <c r="I8" s="3">
        <f t="shared" si="3"/>
        <v>192000</v>
      </c>
      <c r="J8" s="2">
        <f>1000+500+15*B8</f>
        <v>16500</v>
      </c>
      <c r="K8" s="2">
        <f>75*B8</f>
        <v>75000</v>
      </c>
    </row>
    <row r="9" spans="2:16" x14ac:dyDescent="0.2">
      <c r="B9" s="3">
        <v>1500</v>
      </c>
      <c r="C9">
        <v>168000</v>
      </c>
      <c r="D9" s="3">
        <v>42000</v>
      </c>
      <c r="E9" s="3">
        <v>70300</v>
      </c>
      <c r="F9" s="3">
        <f t="shared" si="0"/>
        <v>112300</v>
      </c>
      <c r="G9" s="3">
        <f t="shared" si="1"/>
        <v>140600</v>
      </c>
      <c r="H9" s="3">
        <f t="shared" si="2"/>
        <v>210900</v>
      </c>
      <c r="I9" s="3">
        <f t="shared" si="3"/>
        <v>281200</v>
      </c>
      <c r="J9" s="2">
        <f>1000+500+15*B9</f>
        <v>24000</v>
      </c>
      <c r="K9" s="2">
        <f>75*B9</f>
        <v>112500</v>
      </c>
      <c r="P9" s="1" t="s">
        <v>0</v>
      </c>
    </row>
    <row r="10" spans="2:16" x14ac:dyDescent="0.2">
      <c r="B10" s="3">
        <v>2000</v>
      </c>
      <c r="C10">
        <v>212000</v>
      </c>
      <c r="D10" s="3">
        <v>48000</v>
      </c>
      <c r="E10" s="3">
        <v>81000</v>
      </c>
      <c r="F10" s="3">
        <f t="shared" si="0"/>
        <v>129000</v>
      </c>
      <c r="G10" s="3">
        <f t="shared" si="1"/>
        <v>162000</v>
      </c>
      <c r="H10" s="3">
        <f t="shared" si="2"/>
        <v>243000</v>
      </c>
      <c r="I10" s="3">
        <f t="shared" si="3"/>
        <v>324000</v>
      </c>
      <c r="J10" s="2">
        <f>1000+500+15*B10</f>
        <v>31500</v>
      </c>
      <c r="K10" s="2">
        <f>75*B10</f>
        <v>150000</v>
      </c>
      <c r="N10" s="4" t="s">
        <v>1</v>
      </c>
      <c r="O10" s="5"/>
      <c r="P10" s="2" t="s">
        <v>2</v>
      </c>
    </row>
    <row r="11" spans="2:16" x14ac:dyDescent="0.2">
      <c r="B11" s="3">
        <v>3000</v>
      </c>
      <c r="C11">
        <v>307000</v>
      </c>
      <c r="D11" s="3">
        <v>70000</v>
      </c>
      <c r="E11" s="3">
        <v>114000</v>
      </c>
      <c r="F11" s="3">
        <f t="shared" si="0"/>
        <v>184000</v>
      </c>
      <c r="G11" s="3">
        <f t="shared" si="1"/>
        <v>228000</v>
      </c>
      <c r="H11" s="3">
        <f t="shared" si="2"/>
        <v>342000</v>
      </c>
      <c r="I11" s="3">
        <f t="shared" si="3"/>
        <v>456000</v>
      </c>
      <c r="J11" s="2">
        <f>1000+500+15*B11</f>
        <v>46500</v>
      </c>
      <c r="K11" s="2">
        <f>75*B11</f>
        <v>225000</v>
      </c>
      <c r="N11" s="5"/>
      <c r="O11" s="5"/>
      <c r="P11" s="2"/>
    </row>
    <row r="12" spans="2:16" x14ac:dyDescent="0.2">
      <c r="N12" s="2"/>
      <c r="O12" s="2"/>
      <c r="P12" s="2" t="s">
        <v>16</v>
      </c>
    </row>
    <row r="13" spans="2:16" x14ac:dyDescent="0.2">
      <c r="C13" t="s">
        <v>15</v>
      </c>
    </row>
    <row r="14" spans="2:16" x14ac:dyDescent="0.2">
      <c r="C14" s="3">
        <v>28000</v>
      </c>
    </row>
    <row r="15" spans="2:16" x14ac:dyDescent="0.2">
      <c r="C15" s="3">
        <v>35000</v>
      </c>
    </row>
    <row r="16" spans="2:16" x14ac:dyDescent="0.2">
      <c r="C16" s="3">
        <v>46000</v>
      </c>
    </row>
    <row r="17" spans="2:11" x14ac:dyDescent="0.2">
      <c r="C17" s="3">
        <v>70000</v>
      </c>
    </row>
    <row r="18" spans="2:11" x14ac:dyDescent="0.2">
      <c r="C18" s="3">
        <v>100000</v>
      </c>
    </row>
    <row r="19" spans="2:11" x14ac:dyDescent="0.2">
      <c r="C19" s="3">
        <v>124000</v>
      </c>
    </row>
    <row r="20" spans="2:11" x14ac:dyDescent="0.2">
      <c r="C20" s="3">
        <v>178000</v>
      </c>
    </row>
    <row r="21" spans="2:11" x14ac:dyDescent="0.2">
      <c r="B21" s="3"/>
      <c r="C21" s="3"/>
      <c r="D21" s="3"/>
      <c r="E21" s="3"/>
      <c r="F21" s="3"/>
      <c r="G21" s="3"/>
      <c r="H21" s="3"/>
      <c r="I21" s="3"/>
      <c r="J21" s="2"/>
      <c r="K21" s="2"/>
    </row>
    <row r="22" spans="2:11" x14ac:dyDescent="0.2">
      <c r="B22" s="2"/>
      <c r="C22" s="2" t="s">
        <v>14</v>
      </c>
      <c r="D22" s="2"/>
      <c r="E22" s="2"/>
      <c r="F22" s="2"/>
      <c r="G22" s="2"/>
      <c r="H22" s="2"/>
      <c r="I22" s="2"/>
      <c r="J22" s="2"/>
      <c r="K22" s="2"/>
    </row>
    <row r="23" spans="2:11" x14ac:dyDescent="0.2">
      <c r="B23" s="2" t="s">
        <v>4</v>
      </c>
      <c r="C23" s="2" t="s">
        <v>5</v>
      </c>
      <c r="D23" s="2" t="s">
        <v>6</v>
      </c>
      <c r="E23" s="2" t="s">
        <v>7</v>
      </c>
      <c r="F23" s="2" t="s">
        <v>8</v>
      </c>
      <c r="G23" s="2" t="s">
        <v>9</v>
      </c>
      <c r="H23" s="2" t="s">
        <v>10</v>
      </c>
      <c r="I23" s="2" t="s">
        <v>11</v>
      </c>
      <c r="J23" s="2" t="s">
        <v>12</v>
      </c>
      <c r="K23" s="2" t="s">
        <v>13</v>
      </c>
    </row>
    <row r="24" spans="2:11" x14ac:dyDescent="0.2">
      <c r="B24" s="3">
        <v>100</v>
      </c>
      <c r="C24">
        <v>26000</v>
      </c>
      <c r="D24" s="3">
        <v>16000</v>
      </c>
      <c r="E24" s="3">
        <f>D24*2</f>
        <v>32000</v>
      </c>
      <c r="F24" s="3">
        <f>E24+D24</f>
        <v>48000</v>
      </c>
      <c r="G24" s="3">
        <f t="shared" ref="G24:G30" si="4">E24*2</f>
        <v>64000</v>
      </c>
      <c r="H24" s="3">
        <f t="shared" ref="H24:H30" si="5">E24*3</f>
        <v>96000</v>
      </c>
      <c r="I24" s="3">
        <f t="shared" ref="I24:I30" si="6">E24*4</f>
        <v>128000</v>
      </c>
      <c r="J24" s="2">
        <f>1000+500+25*B24</f>
        <v>4000</v>
      </c>
      <c r="K24" s="2">
        <f>65*B24</f>
        <v>6500</v>
      </c>
    </row>
    <row r="25" spans="2:11" x14ac:dyDescent="0.2">
      <c r="B25" s="3">
        <v>250</v>
      </c>
      <c r="C25">
        <v>33000</v>
      </c>
      <c r="D25" s="3">
        <v>16300</v>
      </c>
      <c r="E25" s="3">
        <f t="shared" ref="E25:E30" si="7">D25*2</f>
        <v>32600</v>
      </c>
      <c r="F25" s="3">
        <f t="shared" ref="F25:F30" si="8">E25+D25</f>
        <v>48900</v>
      </c>
      <c r="G25" s="3">
        <f t="shared" si="4"/>
        <v>65200</v>
      </c>
      <c r="H25" s="3">
        <f t="shared" si="5"/>
        <v>97800</v>
      </c>
      <c r="I25" s="3">
        <f t="shared" si="6"/>
        <v>130400</v>
      </c>
      <c r="J25" s="2">
        <f>1000+500+20*B25</f>
        <v>6500</v>
      </c>
      <c r="K25" s="2">
        <f>65*B25</f>
        <v>16250</v>
      </c>
    </row>
    <row r="26" spans="2:11" x14ac:dyDescent="0.2">
      <c r="B26" s="3">
        <v>500</v>
      </c>
      <c r="C26">
        <v>44000</v>
      </c>
      <c r="D26" s="3">
        <v>17800</v>
      </c>
      <c r="E26" s="3">
        <f t="shared" si="7"/>
        <v>35600</v>
      </c>
      <c r="F26" s="3">
        <f t="shared" si="8"/>
        <v>53400</v>
      </c>
      <c r="G26" s="3">
        <f t="shared" si="4"/>
        <v>71200</v>
      </c>
      <c r="H26" s="3">
        <f t="shared" si="5"/>
        <v>106800</v>
      </c>
      <c r="I26" s="3">
        <f t="shared" si="6"/>
        <v>142400</v>
      </c>
      <c r="J26" s="2">
        <f>1000+500+10*B26</f>
        <v>6500</v>
      </c>
      <c r="K26" s="2">
        <f>65*B26</f>
        <v>32500</v>
      </c>
    </row>
    <row r="27" spans="2:11" x14ac:dyDescent="0.2">
      <c r="B27" s="3">
        <v>1000</v>
      </c>
      <c r="C27">
        <v>65800</v>
      </c>
      <c r="D27" s="3">
        <v>20500</v>
      </c>
      <c r="E27" s="3">
        <f t="shared" si="7"/>
        <v>41000</v>
      </c>
      <c r="F27" s="3">
        <f t="shared" si="8"/>
        <v>61500</v>
      </c>
      <c r="G27" s="3">
        <f t="shared" si="4"/>
        <v>82000</v>
      </c>
      <c r="H27" s="3">
        <f t="shared" si="5"/>
        <v>123000</v>
      </c>
      <c r="I27" s="3">
        <f t="shared" si="6"/>
        <v>164000</v>
      </c>
      <c r="J27" s="2">
        <f>1000+500+10*B27</f>
        <v>11500</v>
      </c>
      <c r="K27" s="2">
        <f>60*B27</f>
        <v>60000</v>
      </c>
    </row>
    <row r="28" spans="2:11" x14ac:dyDescent="0.2">
      <c r="B28" s="3">
        <v>1500</v>
      </c>
      <c r="C28">
        <v>94000</v>
      </c>
      <c r="D28" s="3">
        <v>30000</v>
      </c>
      <c r="E28" s="3">
        <f t="shared" si="7"/>
        <v>60000</v>
      </c>
      <c r="F28" s="3">
        <f t="shared" si="8"/>
        <v>90000</v>
      </c>
      <c r="G28" s="3">
        <f t="shared" si="4"/>
        <v>120000</v>
      </c>
      <c r="H28" s="3">
        <f t="shared" si="5"/>
        <v>180000</v>
      </c>
      <c r="I28" s="3">
        <f t="shared" si="6"/>
        <v>240000</v>
      </c>
      <c r="J28" s="2">
        <f>1000+1000+10*B28</f>
        <v>17000</v>
      </c>
      <c r="K28" s="2">
        <f>60*B28</f>
        <v>90000</v>
      </c>
    </row>
    <row r="29" spans="2:11" x14ac:dyDescent="0.2">
      <c r="B29" s="3">
        <v>2000</v>
      </c>
      <c r="C29">
        <v>115000</v>
      </c>
      <c r="D29" s="3">
        <v>33000</v>
      </c>
      <c r="E29" s="3">
        <f t="shared" si="7"/>
        <v>66000</v>
      </c>
      <c r="F29" s="3">
        <f t="shared" si="8"/>
        <v>99000</v>
      </c>
      <c r="G29" s="3">
        <f t="shared" si="4"/>
        <v>132000</v>
      </c>
      <c r="H29" s="3">
        <f t="shared" si="5"/>
        <v>198000</v>
      </c>
      <c r="I29" s="3">
        <f t="shared" si="6"/>
        <v>264000</v>
      </c>
      <c r="J29" s="2">
        <f>1000+1000+10*B29</f>
        <v>22000</v>
      </c>
      <c r="K29" s="2">
        <f>60*B29</f>
        <v>120000</v>
      </c>
    </row>
    <row r="30" spans="2:11" x14ac:dyDescent="0.2">
      <c r="B30" s="3">
        <v>3000</v>
      </c>
      <c r="C30">
        <v>165000</v>
      </c>
      <c r="D30" s="3">
        <v>45000</v>
      </c>
      <c r="E30" s="3">
        <f t="shared" si="7"/>
        <v>90000</v>
      </c>
      <c r="F30" s="3">
        <f t="shared" si="8"/>
        <v>135000</v>
      </c>
      <c r="G30" s="3">
        <f t="shared" si="4"/>
        <v>180000</v>
      </c>
      <c r="H30" s="3">
        <f t="shared" si="5"/>
        <v>270000</v>
      </c>
      <c r="I30" s="3">
        <f t="shared" si="6"/>
        <v>360000</v>
      </c>
      <c r="J30" s="2">
        <f>1000+1000+10*B30</f>
        <v>32000</v>
      </c>
      <c r="K30" s="2">
        <f>60*B30</f>
        <v>180000</v>
      </c>
    </row>
    <row r="32" spans="2:11" x14ac:dyDescent="0.2">
      <c r="C32" t="s">
        <v>15</v>
      </c>
    </row>
    <row r="33" spans="3:3" x14ac:dyDescent="0.2">
      <c r="C33">
        <v>25000</v>
      </c>
    </row>
    <row r="34" spans="3:3" x14ac:dyDescent="0.2">
      <c r="C34">
        <v>30500</v>
      </c>
    </row>
    <row r="35" spans="3:3" x14ac:dyDescent="0.2">
      <c r="C35">
        <v>40500</v>
      </c>
    </row>
    <row r="36" spans="3:3" x14ac:dyDescent="0.2">
      <c r="C36">
        <v>60500</v>
      </c>
    </row>
    <row r="37" spans="3:3" x14ac:dyDescent="0.2">
      <c r="C37">
        <v>86000</v>
      </c>
    </row>
    <row r="38" spans="3:3" x14ac:dyDescent="0.2">
      <c r="C38">
        <v>106000</v>
      </c>
    </row>
    <row r="39" spans="3:3" x14ac:dyDescent="0.2">
      <c r="C39">
        <v>153000</v>
      </c>
    </row>
  </sheetData>
  <mergeCells count="1">
    <mergeCell ref="N10:O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</cp:lastModifiedBy>
  <dcterms:modified xsi:type="dcterms:W3CDTF">2026-06-23T17:20:00Z</dcterms:modified>
</cp:coreProperties>
</file>